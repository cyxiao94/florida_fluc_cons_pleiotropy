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cxiao/Dropbox (PopGen)/Changyi/my_project/fluctuation_constant/20final_dataset/00phenotype/fecundity_nocold/"/>
    </mc:Choice>
  </mc:AlternateContent>
  <xr:revisionPtr revIDLastSave="0" documentId="13_ncr:1_{21C8D5A4-6A93-1546-9AAE-C73F6CF920EB}" xr6:coauthVersionLast="47" xr6:coauthVersionMax="47" xr10:uidLastSave="{00000000-0000-0000-0000-000000000000}"/>
  <bookViews>
    <workbookView xWindow="0" yWindow="500" windowWidth="51200" windowHeight="26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1" i="1" l="1"/>
  <c r="K31" i="1"/>
  <c r="O30" i="1"/>
  <c r="K30" i="1"/>
  <c r="O29" i="1"/>
  <c r="K29" i="1"/>
  <c r="O28" i="1"/>
  <c r="K28" i="1"/>
  <c r="O27" i="1"/>
  <c r="K27" i="1"/>
  <c r="O26" i="1"/>
  <c r="K26" i="1"/>
  <c r="O25" i="1"/>
  <c r="K25" i="1"/>
  <c r="O24" i="1"/>
  <c r="K24" i="1"/>
  <c r="O23" i="1"/>
  <c r="K23" i="1"/>
  <c r="O22" i="1"/>
  <c r="K22" i="1"/>
  <c r="O21" i="1"/>
  <c r="K21" i="1"/>
  <c r="O20" i="1"/>
  <c r="K20" i="1"/>
  <c r="O19" i="1"/>
  <c r="K19" i="1"/>
  <c r="O18" i="1"/>
  <c r="K18" i="1"/>
  <c r="O17" i="1"/>
  <c r="K17" i="1"/>
  <c r="O16" i="1"/>
  <c r="K16" i="1"/>
  <c r="O15" i="1"/>
  <c r="K15" i="1"/>
  <c r="O14" i="1"/>
  <c r="K14" i="1"/>
  <c r="O13" i="1"/>
  <c r="K13" i="1"/>
  <c r="O12" i="1"/>
  <c r="K12" i="1"/>
  <c r="O11" i="1"/>
  <c r="K11" i="1"/>
  <c r="O10" i="1"/>
  <c r="K10" i="1"/>
  <c r="O9" i="1"/>
  <c r="K9" i="1"/>
  <c r="O8" i="1"/>
  <c r="K8" i="1"/>
  <c r="O7" i="1"/>
  <c r="K7" i="1"/>
  <c r="O6" i="1"/>
  <c r="K6" i="1"/>
  <c r="O5" i="1"/>
  <c r="K5" i="1"/>
  <c r="O4" i="1"/>
  <c r="K4" i="1"/>
  <c r="O3" i="1"/>
  <c r="K3" i="1"/>
  <c r="O2" i="1"/>
  <c r="K2" i="1"/>
</calcChain>
</file>

<file path=xl/sharedStrings.xml><?xml version="1.0" encoding="utf-8"?>
<sst xmlns="http://schemas.openxmlformats.org/spreadsheetml/2006/main" count="135" uniqueCount="50">
  <si>
    <t>Set</t>
  </si>
  <si>
    <t>sample</t>
  </si>
  <si>
    <t>Species</t>
  </si>
  <si>
    <t>location</t>
  </si>
  <si>
    <t>population</t>
  </si>
  <si>
    <t>replicates</t>
  </si>
  <si>
    <t>sub-replicates</t>
  </si>
  <si>
    <t>anc_1_R1</t>
  </si>
  <si>
    <t>D. simulans</t>
  </si>
  <si>
    <t>Florida</t>
  </si>
  <si>
    <t>Ancestral</t>
  </si>
  <si>
    <t>anc_1_R2</t>
  </si>
  <si>
    <t>anc_1_R3</t>
  </si>
  <si>
    <t>anc_1_R4</t>
  </si>
  <si>
    <t>anc_1_R5</t>
  </si>
  <si>
    <t>anc_2_R1</t>
  </si>
  <si>
    <t>anc_2_R2</t>
  </si>
  <si>
    <t>anc_2_R3</t>
  </si>
  <si>
    <t>anc_2_R4</t>
  </si>
  <si>
    <t>anc_2_R5</t>
  </si>
  <si>
    <t>constant_1_R1</t>
  </si>
  <si>
    <t>constant</t>
  </si>
  <si>
    <t>constant_1_R2</t>
  </si>
  <si>
    <t>constant_1_R3</t>
  </si>
  <si>
    <t>constant_1_R4</t>
  </si>
  <si>
    <t>constant_1_R5</t>
  </si>
  <si>
    <t>constant_2_R1</t>
  </si>
  <si>
    <t>constant_2_R2</t>
  </si>
  <si>
    <t>constant_2_R3</t>
  </si>
  <si>
    <t>constant_2_R4</t>
  </si>
  <si>
    <t>constant_2_R5</t>
  </si>
  <si>
    <t>wave2_1_R1</t>
  </si>
  <si>
    <t>2nd_wave_fluctuating</t>
  </si>
  <si>
    <t>wave2_1_R2</t>
  </si>
  <si>
    <t>wave2_1_R3</t>
  </si>
  <si>
    <t>wave2_1_R4</t>
  </si>
  <si>
    <t>wave2_1_R5</t>
  </si>
  <si>
    <t>weight_males</t>
  </si>
  <si>
    <t>tube_weight_with_males</t>
  </si>
  <si>
    <t>weight_empty_tube_males</t>
  </si>
  <si>
    <t>tube_weight_with_females</t>
  </si>
  <si>
    <t>weight_empty_tube_females</t>
  </si>
  <si>
    <t>wave2_2_R1</t>
  </si>
  <si>
    <t>wave2_2_R2</t>
  </si>
  <si>
    <t>wave2_2_R3</t>
  </si>
  <si>
    <t>wave2_2_R4</t>
  </si>
  <si>
    <t>wave2_2_R5</t>
  </si>
  <si>
    <t>number_of_female</t>
  </si>
  <si>
    <t>weight_females</t>
  </si>
  <si>
    <t>number_of_male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</si>
</sst>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&quot;Times New Roman&quot;"/>
    </font>
    <font>
      <sz val="14"/>
      <color rgb="FF000000"/>
      <name val="&quot;Times New Roman&quot;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/>
    <xf numFmtId="0" fontId="1" fillId="2" borderId="1" xfId="0" applyFont="1" applyFill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5" fillId="0" borderId="1" xfId="0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960"/>
  <sheetViews>
    <sheetView tabSelected="1" workbookViewId="0">
      <pane ySplit="1" topLeftCell="A2" activePane="bottomLeft" state="frozen"/>
      <selection pane="bottomLeft" activeCell="R41" sqref="R41"/>
    </sheetView>
  </sheetViews>
  <sheetFormatPr baseColWidth="10" defaultColWidth="12.6640625" defaultRowHeight="15.75" customHeight="1"/>
  <cols>
    <col min="1" max="1" width="7.33203125" customWidth="1"/>
    <col min="2" max="2" width="18.5" customWidth="1"/>
    <col min="7" max="7" width="18.6640625" customWidth="1"/>
    <col min="8" max="8" width="22.33203125" customWidth="1"/>
    <col min="9" max="9" width="21.1640625" customWidth="1"/>
    <col min="10" max="12" width="18" customWidth="1"/>
    <col min="13" max="13" width="21.33203125" customWidth="1"/>
  </cols>
  <sheetData>
    <row r="1" spans="1:24" ht="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47</v>
      </c>
      <c r="I1" s="2" t="s">
        <v>41</v>
      </c>
      <c r="J1" s="10" t="s">
        <v>40</v>
      </c>
      <c r="K1" s="11" t="s">
        <v>48</v>
      </c>
      <c r="L1" s="12" t="s">
        <v>49</v>
      </c>
      <c r="M1" s="2" t="s">
        <v>39</v>
      </c>
      <c r="N1" s="10" t="s">
        <v>38</v>
      </c>
      <c r="O1" s="11" t="s">
        <v>37</v>
      </c>
      <c r="P1" s="12"/>
      <c r="Q1" s="2"/>
      <c r="R1" s="2"/>
      <c r="S1" s="2"/>
      <c r="T1" s="2"/>
      <c r="U1" s="2"/>
      <c r="V1" s="2"/>
      <c r="W1" s="2"/>
      <c r="X1" s="2"/>
    </row>
    <row r="2" spans="1:24" ht="18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3">
        <v>1</v>
      </c>
      <c r="G2" s="3">
        <v>1</v>
      </c>
      <c r="H2" s="5">
        <v>55</v>
      </c>
      <c r="I2" s="5">
        <v>0.98880000000000001</v>
      </c>
      <c r="J2" s="5">
        <v>1.0108999999999999</v>
      </c>
      <c r="K2" s="5">
        <f t="shared" ref="K2:K31" si="0">J2-I2</f>
        <v>2.2099999999999898E-2</v>
      </c>
      <c r="L2" s="5">
        <v>38</v>
      </c>
      <c r="M2" s="5">
        <v>0.99250000000000005</v>
      </c>
      <c r="N2" s="5">
        <v>1.0024999999999999</v>
      </c>
      <c r="O2" s="5">
        <f t="shared" ref="O2:O31" si="1">N2-M2</f>
        <v>9.9999999999998979E-3</v>
      </c>
      <c r="P2" s="5"/>
      <c r="Q2" s="5"/>
      <c r="R2" s="5"/>
      <c r="S2" s="5"/>
      <c r="T2" s="5"/>
      <c r="U2" s="5"/>
      <c r="V2" s="5"/>
      <c r="W2" s="5"/>
      <c r="X2" s="5"/>
    </row>
    <row r="3" spans="1:24" ht="18">
      <c r="A3" s="13">
        <v>2</v>
      </c>
      <c r="B3" s="7" t="s">
        <v>11</v>
      </c>
      <c r="C3" s="7" t="s">
        <v>8</v>
      </c>
      <c r="D3" s="7" t="s">
        <v>9</v>
      </c>
      <c r="E3" s="7" t="s">
        <v>10</v>
      </c>
      <c r="F3" s="6">
        <v>2</v>
      </c>
      <c r="G3" s="6">
        <v>1</v>
      </c>
      <c r="H3" s="1">
        <v>57</v>
      </c>
      <c r="I3" s="1">
        <v>0.98770000000000002</v>
      </c>
      <c r="J3" s="1">
        <v>1.0122</v>
      </c>
      <c r="K3" s="5">
        <f t="shared" si="0"/>
        <v>2.4499999999999966E-2</v>
      </c>
      <c r="L3" s="1">
        <v>43</v>
      </c>
      <c r="M3" s="1">
        <v>0.99660000000000004</v>
      </c>
      <c r="N3" s="1">
        <v>1.0087999999999999</v>
      </c>
      <c r="O3" s="5">
        <f t="shared" si="1"/>
        <v>1.2199999999999878E-2</v>
      </c>
      <c r="P3" s="1"/>
      <c r="Q3" s="1"/>
      <c r="R3" s="1"/>
      <c r="S3" s="1"/>
      <c r="T3" s="1"/>
      <c r="U3" s="1"/>
      <c r="V3" s="1"/>
      <c r="W3" s="1"/>
      <c r="X3" s="1"/>
    </row>
    <row r="4" spans="1:24" ht="18">
      <c r="A4" s="13">
        <v>3</v>
      </c>
      <c r="B4" s="7" t="s">
        <v>12</v>
      </c>
      <c r="C4" s="7" t="s">
        <v>8</v>
      </c>
      <c r="D4" s="7" t="s">
        <v>9</v>
      </c>
      <c r="E4" s="7" t="s">
        <v>10</v>
      </c>
      <c r="F4" s="6">
        <v>3</v>
      </c>
      <c r="G4" s="6">
        <v>1</v>
      </c>
      <c r="H4" s="1">
        <v>45</v>
      </c>
      <c r="I4" s="1">
        <v>0.99339999999999995</v>
      </c>
      <c r="J4" s="1">
        <v>1.0126999999999999</v>
      </c>
      <c r="K4" s="5">
        <f t="shared" si="0"/>
        <v>1.9299999999999984E-2</v>
      </c>
      <c r="L4" s="1">
        <v>49</v>
      </c>
      <c r="M4" s="1">
        <v>0.99260000000000004</v>
      </c>
      <c r="N4" s="1">
        <v>1.0062</v>
      </c>
      <c r="O4" s="5">
        <f t="shared" si="1"/>
        <v>1.3599999999999945E-2</v>
      </c>
      <c r="P4" s="1"/>
      <c r="Q4" s="1"/>
      <c r="R4" s="1"/>
      <c r="S4" s="1"/>
      <c r="T4" s="1"/>
      <c r="U4" s="1"/>
      <c r="V4" s="1"/>
      <c r="W4" s="1"/>
      <c r="X4" s="1"/>
    </row>
    <row r="5" spans="1:24" ht="18">
      <c r="A5" s="13">
        <v>4</v>
      </c>
      <c r="B5" s="7" t="s">
        <v>13</v>
      </c>
      <c r="C5" s="7" t="s">
        <v>8</v>
      </c>
      <c r="D5" s="7" t="s">
        <v>9</v>
      </c>
      <c r="E5" s="7" t="s">
        <v>10</v>
      </c>
      <c r="F5" s="6">
        <v>4</v>
      </c>
      <c r="G5" s="6">
        <v>1</v>
      </c>
      <c r="H5" s="1">
        <v>58</v>
      </c>
      <c r="I5" s="1">
        <v>0.99299999999999999</v>
      </c>
      <c r="J5" s="1">
        <v>1.0126999999999999</v>
      </c>
      <c r="K5" s="5">
        <f t="shared" si="0"/>
        <v>1.969999999999994E-2</v>
      </c>
      <c r="L5" s="1">
        <v>55</v>
      </c>
      <c r="M5" s="1">
        <v>0.99870000000000003</v>
      </c>
      <c r="N5" s="1">
        <v>1.014</v>
      </c>
      <c r="O5" s="5">
        <f t="shared" si="1"/>
        <v>1.529999999999998E-2</v>
      </c>
      <c r="P5" s="1"/>
      <c r="Q5" s="1"/>
      <c r="R5" s="1"/>
      <c r="S5" s="1"/>
      <c r="T5" s="1"/>
      <c r="U5" s="1"/>
      <c r="V5" s="1"/>
      <c r="W5" s="1"/>
      <c r="X5" s="1"/>
    </row>
    <row r="6" spans="1:24" ht="18">
      <c r="A6" s="13">
        <v>5</v>
      </c>
      <c r="B6" s="7" t="s">
        <v>14</v>
      </c>
      <c r="C6" s="7" t="s">
        <v>8</v>
      </c>
      <c r="D6" s="7" t="s">
        <v>9</v>
      </c>
      <c r="E6" s="7" t="s">
        <v>10</v>
      </c>
      <c r="F6" s="6">
        <v>5</v>
      </c>
      <c r="G6" s="6">
        <v>1</v>
      </c>
      <c r="H6" s="1">
        <v>45</v>
      </c>
      <c r="I6" s="1">
        <v>0.9879</v>
      </c>
      <c r="J6" s="1">
        <v>1.0135000000000001</v>
      </c>
      <c r="K6" s="5">
        <f t="shared" si="0"/>
        <v>2.5600000000000067E-2</v>
      </c>
      <c r="L6" s="1">
        <v>40</v>
      </c>
      <c r="M6" s="1">
        <v>0.99250000000000005</v>
      </c>
      <c r="N6" s="1">
        <v>1.0036</v>
      </c>
      <c r="O6" s="5">
        <f t="shared" si="1"/>
        <v>1.1099999999999999E-2</v>
      </c>
      <c r="P6" s="1"/>
      <c r="Q6" s="1"/>
      <c r="R6" s="1"/>
      <c r="S6" s="1"/>
      <c r="T6" s="1"/>
      <c r="U6" s="1"/>
      <c r="V6" s="1"/>
      <c r="W6" s="1"/>
      <c r="X6" s="1"/>
    </row>
    <row r="7" spans="1:24" ht="18">
      <c r="A7" s="13">
        <v>6</v>
      </c>
      <c r="B7" s="7" t="s">
        <v>15</v>
      </c>
      <c r="C7" s="7" t="s">
        <v>8</v>
      </c>
      <c r="D7" s="7" t="s">
        <v>9</v>
      </c>
      <c r="E7" s="7" t="s">
        <v>10</v>
      </c>
      <c r="F7" s="6">
        <v>1</v>
      </c>
      <c r="G7" s="6">
        <v>2</v>
      </c>
      <c r="H7" s="1">
        <v>53</v>
      </c>
      <c r="I7" s="1">
        <v>0.99360000000000004</v>
      </c>
      <c r="J7" s="1">
        <v>1.0144</v>
      </c>
      <c r="K7" s="5">
        <f t="shared" si="0"/>
        <v>2.079999999999993E-2</v>
      </c>
      <c r="L7" s="1">
        <v>43</v>
      </c>
      <c r="M7" s="1">
        <v>0.99339999999999995</v>
      </c>
      <c r="N7" s="1">
        <v>1.0045999999999999</v>
      </c>
      <c r="O7" s="5">
        <f t="shared" si="1"/>
        <v>1.1199999999999988E-2</v>
      </c>
      <c r="P7" s="1"/>
      <c r="Q7" s="1"/>
      <c r="R7" s="1"/>
      <c r="S7" s="1"/>
      <c r="T7" s="1"/>
      <c r="U7" s="1"/>
      <c r="V7" s="1"/>
      <c r="W7" s="1"/>
      <c r="X7" s="1"/>
    </row>
    <row r="8" spans="1:24" ht="18">
      <c r="A8" s="13">
        <v>7</v>
      </c>
      <c r="B8" s="7" t="s">
        <v>16</v>
      </c>
      <c r="C8" s="7" t="s">
        <v>8</v>
      </c>
      <c r="D8" s="7" t="s">
        <v>9</v>
      </c>
      <c r="E8" s="7" t="s">
        <v>10</v>
      </c>
      <c r="F8" s="6">
        <v>2</v>
      </c>
      <c r="G8" s="6">
        <v>2</v>
      </c>
      <c r="H8" s="1">
        <v>45</v>
      </c>
      <c r="I8" s="1">
        <v>0.98770000000000002</v>
      </c>
      <c r="J8" s="1">
        <v>1.0063</v>
      </c>
      <c r="K8" s="5">
        <f t="shared" si="0"/>
        <v>1.859999999999995E-2</v>
      </c>
      <c r="L8" s="1">
        <v>52</v>
      </c>
      <c r="M8" s="1">
        <v>0.98780000000000001</v>
      </c>
      <c r="N8" s="1">
        <v>1.0016</v>
      </c>
      <c r="O8" s="5">
        <f t="shared" si="1"/>
        <v>1.3800000000000034E-2</v>
      </c>
      <c r="P8" s="1"/>
      <c r="Q8" s="1"/>
      <c r="R8" s="1"/>
      <c r="S8" s="1"/>
      <c r="T8" s="1"/>
      <c r="U8" s="1"/>
      <c r="V8" s="1"/>
      <c r="W8" s="1"/>
      <c r="X8" s="1"/>
    </row>
    <row r="9" spans="1:24" ht="18">
      <c r="A9" s="13">
        <v>8</v>
      </c>
      <c r="B9" s="7" t="s">
        <v>17</v>
      </c>
      <c r="C9" s="7" t="s">
        <v>8</v>
      </c>
      <c r="D9" s="7" t="s">
        <v>9</v>
      </c>
      <c r="E9" s="7" t="s">
        <v>10</v>
      </c>
      <c r="F9" s="6">
        <v>3</v>
      </c>
      <c r="G9" s="6">
        <v>2</v>
      </c>
      <c r="H9" s="1">
        <v>52</v>
      </c>
      <c r="I9" s="1">
        <v>0.9899</v>
      </c>
      <c r="J9" s="1">
        <v>1.0119</v>
      </c>
      <c r="K9" s="5">
        <f t="shared" si="0"/>
        <v>2.200000000000002E-2</v>
      </c>
      <c r="L9" s="1">
        <v>47</v>
      </c>
      <c r="M9" s="1">
        <v>1.0115000000000001</v>
      </c>
      <c r="N9" s="1">
        <v>1.024</v>
      </c>
      <c r="O9" s="5">
        <f t="shared" si="1"/>
        <v>1.2499999999999956E-2</v>
      </c>
      <c r="P9" s="1"/>
      <c r="Q9" s="1"/>
      <c r="R9" s="1"/>
      <c r="S9" s="1"/>
      <c r="T9" s="1"/>
      <c r="U9" s="1"/>
      <c r="V9" s="1"/>
      <c r="W9" s="1"/>
      <c r="X9" s="1"/>
    </row>
    <row r="10" spans="1:24" ht="18">
      <c r="A10" s="13">
        <v>9</v>
      </c>
      <c r="B10" s="7" t="s">
        <v>18</v>
      </c>
      <c r="C10" s="7" t="s">
        <v>8</v>
      </c>
      <c r="D10" s="7" t="s">
        <v>9</v>
      </c>
      <c r="E10" s="7" t="s">
        <v>10</v>
      </c>
      <c r="F10" s="6">
        <v>4</v>
      </c>
      <c r="G10" s="6">
        <v>2</v>
      </c>
      <c r="H10" s="1">
        <v>41</v>
      </c>
      <c r="I10" s="1">
        <v>0.98760000000000003</v>
      </c>
      <c r="J10" s="1">
        <v>1.0052000000000001</v>
      </c>
      <c r="K10" s="5">
        <f t="shared" si="0"/>
        <v>1.760000000000006E-2</v>
      </c>
      <c r="L10" s="1">
        <v>54</v>
      </c>
      <c r="M10" s="1">
        <v>0.99339999999999995</v>
      </c>
      <c r="N10" s="1">
        <v>1.0077</v>
      </c>
      <c r="O10" s="5">
        <f t="shared" si="1"/>
        <v>1.430000000000009E-2</v>
      </c>
      <c r="P10" s="1"/>
      <c r="Q10" s="1"/>
      <c r="R10" s="1"/>
      <c r="S10" s="1"/>
      <c r="T10" s="1"/>
      <c r="U10" s="1"/>
      <c r="V10" s="1"/>
      <c r="W10" s="1"/>
      <c r="X10" s="1"/>
    </row>
    <row r="11" spans="1:24" ht="18">
      <c r="A11" s="13">
        <v>10</v>
      </c>
      <c r="B11" s="7" t="s">
        <v>19</v>
      </c>
      <c r="C11" s="7" t="s">
        <v>8</v>
      </c>
      <c r="D11" s="7" t="s">
        <v>9</v>
      </c>
      <c r="E11" s="7" t="s">
        <v>10</v>
      </c>
      <c r="F11" s="6">
        <v>5</v>
      </c>
      <c r="G11" s="6">
        <v>2</v>
      </c>
      <c r="H11" s="1">
        <v>51</v>
      </c>
      <c r="I11" s="1">
        <v>1.0048999999999999</v>
      </c>
      <c r="J11" s="1">
        <v>1.0264</v>
      </c>
      <c r="K11" s="5">
        <f t="shared" si="0"/>
        <v>2.1500000000000075E-2</v>
      </c>
      <c r="L11" s="1">
        <v>47</v>
      </c>
      <c r="M11" s="1">
        <v>1.0082</v>
      </c>
      <c r="N11" s="1">
        <v>1.0212000000000001</v>
      </c>
      <c r="O11" s="5">
        <f t="shared" si="1"/>
        <v>1.3000000000000123E-2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ht="18">
      <c r="A12" s="3">
        <v>11</v>
      </c>
      <c r="B12" s="4" t="s">
        <v>20</v>
      </c>
      <c r="C12" s="4" t="s">
        <v>8</v>
      </c>
      <c r="D12" s="4" t="s">
        <v>9</v>
      </c>
      <c r="E12" s="4" t="s">
        <v>21</v>
      </c>
      <c r="F12" s="3">
        <v>1</v>
      </c>
      <c r="G12" s="3">
        <v>1</v>
      </c>
      <c r="H12" s="5">
        <v>56</v>
      </c>
      <c r="I12" s="5">
        <v>1.0085</v>
      </c>
      <c r="J12" s="5">
        <v>1.0241</v>
      </c>
      <c r="K12" s="5">
        <f t="shared" si="0"/>
        <v>1.5600000000000058E-2</v>
      </c>
      <c r="L12" s="5">
        <v>44</v>
      </c>
      <c r="M12" s="5">
        <v>0.99839999999999995</v>
      </c>
      <c r="N12" s="5">
        <v>1.0125999999999999</v>
      </c>
      <c r="O12" s="5">
        <f t="shared" si="1"/>
        <v>1.419999999999999E-2</v>
      </c>
      <c r="P12" s="5"/>
      <c r="Q12" s="5"/>
      <c r="R12" s="5"/>
      <c r="S12" s="5"/>
      <c r="T12" s="5"/>
      <c r="U12" s="5"/>
      <c r="V12" s="5"/>
      <c r="W12" s="5"/>
      <c r="X12" s="5"/>
    </row>
    <row r="13" spans="1:24" ht="18">
      <c r="A13" s="13">
        <v>12</v>
      </c>
      <c r="B13" s="7" t="s">
        <v>22</v>
      </c>
      <c r="C13" s="7" t="s">
        <v>8</v>
      </c>
      <c r="D13" s="7" t="s">
        <v>9</v>
      </c>
      <c r="E13" s="7" t="s">
        <v>21</v>
      </c>
      <c r="F13" s="6">
        <v>2</v>
      </c>
      <c r="G13" s="6">
        <v>1</v>
      </c>
      <c r="H13" s="1">
        <v>49</v>
      </c>
      <c r="I13" s="1">
        <v>0.99219999999999997</v>
      </c>
      <c r="J13" s="1">
        <v>1.0083</v>
      </c>
      <c r="K13" s="5">
        <f t="shared" si="0"/>
        <v>1.6100000000000003E-2</v>
      </c>
      <c r="L13" s="1">
        <v>50</v>
      </c>
      <c r="M13" s="1">
        <v>0.99160000000000004</v>
      </c>
      <c r="N13" s="1">
        <v>1.0046999999999999</v>
      </c>
      <c r="O13" s="5">
        <f t="shared" si="1"/>
        <v>1.309999999999989E-2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 ht="18">
      <c r="A14" s="13">
        <v>13</v>
      </c>
      <c r="B14" s="7" t="s">
        <v>23</v>
      </c>
      <c r="C14" s="7" t="s">
        <v>8</v>
      </c>
      <c r="D14" s="7" t="s">
        <v>9</v>
      </c>
      <c r="E14" s="7" t="s">
        <v>21</v>
      </c>
      <c r="F14" s="6">
        <v>3</v>
      </c>
      <c r="G14" s="6">
        <v>1</v>
      </c>
      <c r="H14" s="1">
        <v>43</v>
      </c>
      <c r="I14" s="1">
        <v>1.0083</v>
      </c>
      <c r="J14" s="1">
        <v>1.0232000000000001</v>
      </c>
      <c r="K14" s="5">
        <f t="shared" si="0"/>
        <v>1.4900000000000135E-2</v>
      </c>
      <c r="L14" s="1">
        <v>54</v>
      </c>
      <c r="M14" s="1">
        <v>0.99109999999999998</v>
      </c>
      <c r="N14" s="1">
        <v>1.0044999999999999</v>
      </c>
      <c r="O14" s="5">
        <f t="shared" si="1"/>
        <v>1.3399999999999967E-2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ht="18">
      <c r="A15" s="13">
        <v>14</v>
      </c>
      <c r="B15" s="7" t="s">
        <v>24</v>
      </c>
      <c r="C15" s="7" t="s">
        <v>8</v>
      </c>
      <c r="D15" s="7" t="s">
        <v>9</v>
      </c>
      <c r="E15" s="7" t="s">
        <v>21</v>
      </c>
      <c r="F15" s="6">
        <v>4</v>
      </c>
      <c r="G15" s="6">
        <v>1</v>
      </c>
      <c r="H15" s="1">
        <v>49</v>
      </c>
      <c r="I15" s="1">
        <v>0.98640000000000005</v>
      </c>
      <c r="J15" s="1">
        <v>1.0046999999999999</v>
      </c>
      <c r="K15" s="5">
        <f t="shared" si="0"/>
        <v>1.8299999999999872E-2</v>
      </c>
      <c r="L15" s="1">
        <v>40</v>
      </c>
      <c r="M15" s="1">
        <v>0.99860000000000004</v>
      </c>
      <c r="N15" s="1">
        <v>1.008</v>
      </c>
      <c r="O15" s="5">
        <f t="shared" si="1"/>
        <v>9.3999999999999639E-3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8">
      <c r="A16" s="13">
        <v>15</v>
      </c>
      <c r="B16" s="7" t="s">
        <v>25</v>
      </c>
      <c r="C16" s="7" t="s">
        <v>8</v>
      </c>
      <c r="D16" s="7" t="s">
        <v>9</v>
      </c>
      <c r="E16" s="7" t="s">
        <v>21</v>
      </c>
      <c r="F16" s="6">
        <v>5</v>
      </c>
      <c r="G16" s="6">
        <v>1</v>
      </c>
      <c r="H16" s="1">
        <v>54</v>
      </c>
      <c r="I16" s="1">
        <v>0.98770000000000002</v>
      </c>
      <c r="J16" s="1">
        <v>1.0079</v>
      </c>
      <c r="K16" s="5">
        <f t="shared" si="0"/>
        <v>2.0199999999999996E-2</v>
      </c>
      <c r="L16" s="1">
        <v>42</v>
      </c>
      <c r="M16" s="1">
        <v>0.99219999999999997</v>
      </c>
      <c r="N16" s="1">
        <v>1.0024</v>
      </c>
      <c r="O16" s="5">
        <f t="shared" si="1"/>
        <v>1.0199999999999987E-2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 ht="18">
      <c r="A17" s="13">
        <v>16</v>
      </c>
      <c r="B17" s="7" t="s">
        <v>26</v>
      </c>
      <c r="C17" s="7" t="s">
        <v>8</v>
      </c>
      <c r="D17" s="7" t="s">
        <v>9</v>
      </c>
      <c r="E17" s="7" t="s">
        <v>21</v>
      </c>
      <c r="F17" s="6">
        <v>1</v>
      </c>
      <c r="G17" s="6">
        <v>2</v>
      </c>
      <c r="H17" s="1">
        <v>53</v>
      </c>
      <c r="I17" s="1">
        <v>0.99129999999999996</v>
      </c>
      <c r="J17" s="1">
        <v>1.0101</v>
      </c>
      <c r="K17" s="5">
        <f t="shared" si="0"/>
        <v>1.8800000000000039E-2</v>
      </c>
      <c r="L17" s="1">
        <v>47</v>
      </c>
      <c r="M17" s="1">
        <v>1.0048999999999999</v>
      </c>
      <c r="N17" s="1">
        <v>1.0163</v>
      </c>
      <c r="O17" s="5">
        <f t="shared" si="1"/>
        <v>1.1400000000000077E-2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18">
      <c r="A18" s="13">
        <v>17</v>
      </c>
      <c r="B18" s="7" t="s">
        <v>27</v>
      </c>
      <c r="C18" s="7" t="s">
        <v>8</v>
      </c>
      <c r="D18" s="7" t="s">
        <v>9</v>
      </c>
      <c r="E18" s="7" t="s">
        <v>21</v>
      </c>
      <c r="F18" s="6">
        <v>2</v>
      </c>
      <c r="G18" s="6">
        <v>2</v>
      </c>
      <c r="H18" s="1">
        <v>45</v>
      </c>
      <c r="I18" s="1">
        <v>0.99319999999999997</v>
      </c>
      <c r="J18" s="1">
        <v>1.0084</v>
      </c>
      <c r="K18" s="5">
        <f t="shared" si="0"/>
        <v>1.5199999999999991E-2</v>
      </c>
      <c r="L18" s="1">
        <v>43</v>
      </c>
      <c r="M18" s="1">
        <v>0.99350000000000005</v>
      </c>
      <c r="N18" s="1">
        <v>1.0036</v>
      </c>
      <c r="O18" s="5">
        <f t="shared" si="1"/>
        <v>1.0099999999999998E-2</v>
      </c>
      <c r="P18" s="1"/>
      <c r="Q18" s="1"/>
      <c r="R18" s="1"/>
      <c r="S18" s="1"/>
      <c r="T18" s="1"/>
      <c r="U18" s="1"/>
      <c r="V18" s="1"/>
      <c r="W18" s="1"/>
      <c r="X18" s="1"/>
    </row>
    <row r="19" spans="1:24" ht="18">
      <c r="A19" s="13">
        <v>18</v>
      </c>
      <c r="B19" s="7" t="s">
        <v>28</v>
      </c>
      <c r="C19" s="7" t="s">
        <v>8</v>
      </c>
      <c r="D19" s="7" t="s">
        <v>9</v>
      </c>
      <c r="E19" s="7" t="s">
        <v>21</v>
      </c>
      <c r="F19" s="6">
        <v>3</v>
      </c>
      <c r="G19" s="6">
        <v>2</v>
      </c>
      <c r="H19" s="1">
        <v>46</v>
      </c>
      <c r="I19" s="1">
        <v>0.999</v>
      </c>
      <c r="J19" s="1">
        <v>1.0145999999999999</v>
      </c>
      <c r="K19" s="5">
        <f t="shared" si="0"/>
        <v>1.5599999999999947E-2</v>
      </c>
      <c r="L19" s="1">
        <v>51</v>
      </c>
      <c r="M19" s="1">
        <v>0.9889</v>
      </c>
      <c r="N19" s="1">
        <v>1.0014000000000001</v>
      </c>
      <c r="O19" s="5">
        <f t="shared" si="1"/>
        <v>1.2500000000000067E-2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ht="18">
      <c r="A20" s="13">
        <v>19</v>
      </c>
      <c r="B20" s="7" t="s">
        <v>29</v>
      </c>
      <c r="C20" s="7" t="s">
        <v>8</v>
      </c>
      <c r="D20" s="7" t="s">
        <v>9</v>
      </c>
      <c r="E20" s="7" t="s">
        <v>21</v>
      </c>
      <c r="F20" s="6">
        <v>4</v>
      </c>
      <c r="G20" s="6">
        <v>2</v>
      </c>
      <c r="H20" s="1">
        <v>49</v>
      </c>
      <c r="I20" s="1">
        <v>0.98670000000000002</v>
      </c>
      <c r="J20" s="1">
        <v>1.0058</v>
      </c>
      <c r="K20" s="5">
        <f t="shared" si="0"/>
        <v>1.9100000000000006E-2</v>
      </c>
      <c r="L20" s="1">
        <v>49</v>
      </c>
      <c r="M20" s="1">
        <v>0.99360000000000004</v>
      </c>
      <c r="N20" s="1">
        <v>1.0065</v>
      </c>
      <c r="O20" s="5">
        <f t="shared" si="1"/>
        <v>1.2899999999999912E-2</v>
      </c>
      <c r="P20" s="1"/>
      <c r="Q20" s="1"/>
      <c r="R20" s="1"/>
      <c r="S20" s="1"/>
      <c r="T20" s="1"/>
      <c r="U20" s="1"/>
      <c r="V20" s="1"/>
      <c r="W20" s="1"/>
      <c r="X20" s="1"/>
    </row>
    <row r="21" spans="1:24" ht="18">
      <c r="A21" s="13">
        <v>20</v>
      </c>
      <c r="B21" s="7" t="s">
        <v>30</v>
      </c>
      <c r="C21" s="7" t="s">
        <v>8</v>
      </c>
      <c r="D21" s="7" t="s">
        <v>9</v>
      </c>
      <c r="E21" s="7" t="s">
        <v>21</v>
      </c>
      <c r="F21" s="6">
        <v>5</v>
      </c>
      <c r="G21" s="6">
        <v>2</v>
      </c>
      <c r="H21" s="1">
        <v>53</v>
      </c>
      <c r="I21" s="1">
        <v>0.9899</v>
      </c>
      <c r="J21" s="1">
        <v>1.0088999999999999</v>
      </c>
      <c r="K21" s="5">
        <f t="shared" si="0"/>
        <v>1.8999999999999906E-2</v>
      </c>
      <c r="L21" s="1">
        <v>39</v>
      </c>
      <c r="M21" s="1">
        <v>1.0117</v>
      </c>
      <c r="N21" s="1">
        <v>1.0212000000000001</v>
      </c>
      <c r="O21" s="5">
        <f t="shared" si="1"/>
        <v>9.5000000000000639E-3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 ht="18">
      <c r="A22" s="3">
        <v>21</v>
      </c>
      <c r="B22" s="4" t="s">
        <v>31</v>
      </c>
      <c r="C22" s="4" t="s">
        <v>8</v>
      </c>
      <c r="D22" s="4" t="s">
        <v>9</v>
      </c>
      <c r="E22" s="4" t="s">
        <v>32</v>
      </c>
      <c r="F22" s="3">
        <v>1</v>
      </c>
      <c r="G22" s="3">
        <v>1</v>
      </c>
      <c r="H22" s="5">
        <v>58</v>
      </c>
      <c r="I22" s="5">
        <v>1.0044999999999999</v>
      </c>
      <c r="J22" s="5">
        <v>1.0251999999999999</v>
      </c>
      <c r="K22" s="5">
        <f t="shared" si="0"/>
        <v>2.0699999999999941E-2</v>
      </c>
      <c r="L22" s="5">
        <v>39</v>
      </c>
      <c r="M22" s="5">
        <v>0.99350000000000005</v>
      </c>
      <c r="N22" s="5">
        <v>1.0023</v>
      </c>
      <c r="O22" s="5">
        <f t="shared" si="1"/>
        <v>8.799999999999919E-3</v>
      </c>
      <c r="P22" s="5"/>
      <c r="Q22" s="5"/>
      <c r="R22" s="5"/>
      <c r="S22" s="5"/>
      <c r="T22" s="5"/>
      <c r="U22" s="5"/>
      <c r="V22" s="5"/>
      <c r="W22" s="5"/>
      <c r="X22" s="5"/>
    </row>
    <row r="23" spans="1:24" ht="18">
      <c r="A23" s="13">
        <v>22</v>
      </c>
      <c r="B23" s="7" t="s">
        <v>33</v>
      </c>
      <c r="C23" s="7" t="s">
        <v>8</v>
      </c>
      <c r="D23" s="7" t="s">
        <v>9</v>
      </c>
      <c r="E23" s="7" t="s">
        <v>32</v>
      </c>
      <c r="F23" s="6">
        <v>2</v>
      </c>
      <c r="G23" s="6">
        <v>1</v>
      </c>
      <c r="H23" s="1">
        <v>60</v>
      </c>
      <c r="I23" s="1">
        <v>0.999</v>
      </c>
      <c r="J23" s="1">
        <v>1.0227999999999999</v>
      </c>
      <c r="K23" s="5">
        <f t="shared" si="0"/>
        <v>2.3799999999999932E-2</v>
      </c>
      <c r="L23" s="1">
        <v>36</v>
      </c>
      <c r="M23" s="1">
        <v>0.99080000000000001</v>
      </c>
      <c r="N23" s="1">
        <v>0.99980000000000002</v>
      </c>
      <c r="O23" s="5">
        <f t="shared" si="1"/>
        <v>9.000000000000008E-3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 ht="18">
      <c r="A24" s="13">
        <v>23</v>
      </c>
      <c r="B24" s="7" t="s">
        <v>34</v>
      </c>
      <c r="C24" s="7" t="s">
        <v>8</v>
      </c>
      <c r="D24" s="7" t="s">
        <v>9</v>
      </c>
      <c r="E24" s="7" t="s">
        <v>32</v>
      </c>
      <c r="F24" s="6">
        <v>3</v>
      </c>
      <c r="G24" s="6">
        <v>1</v>
      </c>
      <c r="H24" s="1">
        <v>48</v>
      </c>
      <c r="I24" s="1">
        <v>0.99109999999999998</v>
      </c>
      <c r="J24" s="1">
        <v>1.0085</v>
      </c>
      <c r="K24" s="5">
        <f t="shared" si="0"/>
        <v>1.7399999999999971E-2</v>
      </c>
      <c r="L24" s="1">
        <v>49</v>
      </c>
      <c r="M24" s="1">
        <v>0.99339999999999995</v>
      </c>
      <c r="N24" s="1">
        <v>1.0054000000000001</v>
      </c>
      <c r="O24" s="5">
        <f t="shared" si="1"/>
        <v>1.2000000000000122E-2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 ht="18">
      <c r="A25" s="13">
        <v>24</v>
      </c>
      <c r="B25" s="7" t="s">
        <v>35</v>
      </c>
      <c r="C25" s="7" t="s">
        <v>8</v>
      </c>
      <c r="D25" s="7" t="s">
        <v>9</v>
      </c>
      <c r="E25" s="7" t="s">
        <v>32</v>
      </c>
      <c r="F25" s="6">
        <v>4</v>
      </c>
      <c r="G25" s="6">
        <v>1</v>
      </c>
      <c r="H25" s="1">
        <v>47</v>
      </c>
      <c r="I25" s="1">
        <v>0.99309999999999998</v>
      </c>
      <c r="J25" s="1">
        <v>1.0107999999999999</v>
      </c>
      <c r="K25" s="5">
        <f t="shared" si="0"/>
        <v>1.7699999999999938E-2</v>
      </c>
      <c r="L25" s="1">
        <v>49</v>
      </c>
      <c r="M25" s="1">
        <v>0.99829999999999997</v>
      </c>
      <c r="N25" s="1">
        <v>1.0107999999999999</v>
      </c>
      <c r="O25" s="5">
        <f t="shared" si="1"/>
        <v>1.2499999999999956E-2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ht="18">
      <c r="A26" s="13">
        <v>25</v>
      </c>
      <c r="B26" s="7" t="s">
        <v>36</v>
      </c>
      <c r="C26" s="7" t="s">
        <v>8</v>
      </c>
      <c r="D26" s="7" t="s">
        <v>9</v>
      </c>
      <c r="E26" s="7" t="s">
        <v>32</v>
      </c>
      <c r="F26" s="6">
        <v>5</v>
      </c>
      <c r="G26" s="6">
        <v>1</v>
      </c>
      <c r="H26" s="1">
        <v>48</v>
      </c>
      <c r="I26" s="1">
        <v>1.0083</v>
      </c>
      <c r="J26" s="1">
        <v>1.0268999999999999</v>
      </c>
      <c r="K26" s="5">
        <f t="shared" si="0"/>
        <v>1.859999999999995E-2</v>
      </c>
      <c r="L26" s="1">
        <v>51</v>
      </c>
      <c r="M26" s="1">
        <v>0.98980000000000001</v>
      </c>
      <c r="N26" s="1">
        <v>1.0036</v>
      </c>
      <c r="O26" s="5">
        <f t="shared" si="1"/>
        <v>1.3800000000000034E-2</v>
      </c>
      <c r="P26" s="1"/>
      <c r="Q26" s="1"/>
      <c r="R26" s="1"/>
      <c r="S26" s="1"/>
      <c r="T26" s="1"/>
      <c r="U26" s="1"/>
      <c r="V26" s="1"/>
      <c r="W26" s="1"/>
      <c r="X26" s="1"/>
    </row>
    <row r="27" spans="1:24" ht="18">
      <c r="A27" s="13">
        <v>26</v>
      </c>
      <c r="B27" s="7" t="s">
        <v>42</v>
      </c>
      <c r="C27" s="7" t="s">
        <v>8</v>
      </c>
      <c r="D27" s="7" t="s">
        <v>9</v>
      </c>
      <c r="E27" s="7" t="s">
        <v>32</v>
      </c>
      <c r="F27" s="6">
        <v>1</v>
      </c>
      <c r="G27" s="6">
        <v>2</v>
      </c>
      <c r="H27" s="1">
        <v>51</v>
      </c>
      <c r="I27" s="1">
        <v>0.99229999999999996</v>
      </c>
      <c r="J27" s="1">
        <v>1.0112000000000001</v>
      </c>
      <c r="K27" s="5">
        <f t="shared" si="0"/>
        <v>1.8900000000000139E-2</v>
      </c>
      <c r="L27" s="1">
        <v>47</v>
      </c>
      <c r="M27" s="1">
        <v>0.99</v>
      </c>
      <c r="N27" s="1">
        <v>1.0013000000000001</v>
      </c>
      <c r="O27" s="5">
        <f t="shared" si="1"/>
        <v>1.1300000000000088E-2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ht="18">
      <c r="A28" s="13">
        <v>27</v>
      </c>
      <c r="B28" s="7" t="s">
        <v>43</v>
      </c>
      <c r="C28" s="7" t="s">
        <v>8</v>
      </c>
      <c r="D28" s="7" t="s">
        <v>9</v>
      </c>
      <c r="E28" s="7" t="s">
        <v>32</v>
      </c>
      <c r="F28" s="6">
        <v>2</v>
      </c>
      <c r="G28" s="6">
        <v>2</v>
      </c>
      <c r="H28" s="1">
        <v>52</v>
      </c>
      <c r="I28" s="1">
        <v>0.99099999999999999</v>
      </c>
      <c r="J28" s="1">
        <v>1.0116000000000001</v>
      </c>
      <c r="K28" s="5">
        <f t="shared" si="0"/>
        <v>2.0600000000000063E-2</v>
      </c>
      <c r="L28" s="1">
        <v>45</v>
      </c>
      <c r="M28" s="1">
        <v>0.98970000000000002</v>
      </c>
      <c r="N28" s="1">
        <v>1.0007999999999999</v>
      </c>
      <c r="O28" s="5">
        <f t="shared" si="1"/>
        <v>1.1099999999999888E-2</v>
      </c>
      <c r="P28" s="1"/>
      <c r="Q28" s="1"/>
      <c r="R28" s="1"/>
      <c r="S28" s="1"/>
      <c r="T28" s="1"/>
      <c r="U28" s="1"/>
      <c r="V28" s="1"/>
      <c r="W28" s="1"/>
      <c r="X28" s="1"/>
    </row>
    <row r="29" spans="1:24" ht="18">
      <c r="A29" s="13">
        <v>28</v>
      </c>
      <c r="B29" s="7" t="s">
        <v>44</v>
      </c>
      <c r="C29" s="7" t="s">
        <v>8</v>
      </c>
      <c r="D29" s="7" t="s">
        <v>9</v>
      </c>
      <c r="E29" s="7" t="s">
        <v>32</v>
      </c>
      <c r="F29" s="6">
        <v>3</v>
      </c>
      <c r="G29" s="6">
        <v>2</v>
      </c>
      <c r="H29" s="1">
        <v>56</v>
      </c>
      <c r="I29" s="1">
        <v>0.99709999999999999</v>
      </c>
      <c r="J29" s="1">
        <v>1.0168999999999999</v>
      </c>
      <c r="K29" s="5">
        <f t="shared" si="0"/>
        <v>1.9799999999999929E-2</v>
      </c>
      <c r="L29" s="1">
        <v>37</v>
      </c>
      <c r="M29" s="1">
        <v>0.99819999999999998</v>
      </c>
      <c r="N29" s="1">
        <v>1.0068999999999999</v>
      </c>
      <c r="O29" s="5">
        <f t="shared" si="1"/>
        <v>8.69999999999993E-3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 ht="18">
      <c r="A30" s="13">
        <v>29</v>
      </c>
      <c r="B30" s="7" t="s">
        <v>45</v>
      </c>
      <c r="C30" s="7" t="s">
        <v>8</v>
      </c>
      <c r="D30" s="7" t="s">
        <v>9</v>
      </c>
      <c r="E30" s="7" t="s">
        <v>32</v>
      </c>
      <c r="F30" s="6">
        <v>4</v>
      </c>
      <c r="G30" s="6">
        <v>2</v>
      </c>
      <c r="H30" s="1">
        <v>49</v>
      </c>
      <c r="I30" s="1">
        <v>0.9929</v>
      </c>
      <c r="J30" s="1">
        <v>1.0105</v>
      </c>
      <c r="K30" s="5">
        <f t="shared" si="0"/>
        <v>1.7599999999999949E-2</v>
      </c>
      <c r="L30" s="1">
        <v>45</v>
      </c>
      <c r="M30" s="1">
        <v>0.999</v>
      </c>
      <c r="N30" s="1">
        <v>1.0093000000000001</v>
      </c>
      <c r="O30" s="5">
        <f t="shared" si="1"/>
        <v>1.0300000000000087E-2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 ht="18">
      <c r="A31" s="13">
        <v>30</v>
      </c>
      <c r="B31" s="7" t="s">
        <v>46</v>
      </c>
      <c r="C31" s="7" t="s">
        <v>8</v>
      </c>
      <c r="D31" s="7" t="s">
        <v>9</v>
      </c>
      <c r="E31" s="7" t="s">
        <v>32</v>
      </c>
      <c r="F31" s="6">
        <v>5</v>
      </c>
      <c r="G31" s="6">
        <v>2</v>
      </c>
      <c r="H31" s="1">
        <v>48</v>
      </c>
      <c r="I31" s="1">
        <v>0.99239999999999995</v>
      </c>
      <c r="J31" s="1">
        <v>1.0105999999999999</v>
      </c>
      <c r="K31" s="5">
        <f t="shared" si="0"/>
        <v>1.8199999999999994E-2</v>
      </c>
      <c r="L31" s="1">
        <v>49</v>
      </c>
      <c r="M31" s="1">
        <v>0.9929</v>
      </c>
      <c r="N31" s="1">
        <v>1.0058</v>
      </c>
      <c r="O31" s="5">
        <f t="shared" si="1"/>
        <v>1.2900000000000023E-2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</sheetData>
  <phoneticPr fontId="6" type="noConversion"/>
  <printOptions horizontalCentered="1"/>
  <pageMargins left="0.25" right="0.25" top="0.75" bottom="0.75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2023-01-27T09:30:31Z</dcterms:modified>
</cp:coreProperties>
</file>